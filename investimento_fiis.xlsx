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FC\Desktop\dio\desafios_de_projeto\"/>
    </mc:Choice>
  </mc:AlternateContent>
  <xr:revisionPtr revIDLastSave="0" documentId="13_ncr:1_{F4354806-9F41-4B71-88DE-94834B292AD2}" xr6:coauthVersionLast="47" xr6:coauthVersionMax="47" xr10:uidLastSave="{00000000-0000-0000-0000-000000000000}"/>
  <bookViews>
    <workbookView xWindow="-108" yWindow="-108" windowWidth="23256" windowHeight="12456" tabRatio="0" xr2:uid="{5A43FD5C-779B-451A-83AF-C3F13C620DF7}"/>
  </bookViews>
  <sheets>
    <sheet name="Planilha1" sheetId="1" r:id="rId1"/>
    <sheet name="Planilha2" sheetId="2" r:id="rId2"/>
  </sheets>
  <definedNames>
    <definedName name="investimento_mensal">Planilha1!$C$18</definedName>
    <definedName name="quantos_anos">Planilha1!$C$19</definedName>
    <definedName name="rendimento_carteira">Planilha1!$C$13</definedName>
    <definedName name="salario">Planilha1!$C$12</definedName>
    <definedName name="taxa">Planilha1!$C$20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1" l="1"/>
  <c r="D38" i="1" s="1"/>
  <c r="D26" i="1"/>
  <c r="C21" i="1"/>
  <c r="C22" i="1" s="1"/>
  <c r="B49" i="1"/>
  <c r="C40" i="1"/>
  <c r="D40" i="1" s="1"/>
  <c r="C41" i="1"/>
  <c r="D41" i="1" s="1"/>
  <c r="C39" i="1"/>
  <c r="D39" i="1" s="1"/>
  <c r="C42" i="1"/>
  <c r="D42" i="1" s="1"/>
  <c r="C43" i="1"/>
  <c r="D43" i="1" s="1"/>
  <c r="I2" i="2"/>
  <c r="C27" i="1"/>
  <c r="D27" i="1" s="1"/>
  <c r="C28" i="1"/>
  <c r="D28" i="1" s="1"/>
  <c r="C29" i="1"/>
  <c r="D29" i="1" s="1"/>
  <c r="C30" i="1"/>
  <c r="D30" i="1" s="1"/>
  <c r="C26" i="1"/>
  <c r="C14" i="1"/>
  <c r="D44" i="1" l="1"/>
</calcChain>
</file>

<file path=xl/sharedStrings.xml><?xml version="1.0" encoding="utf-8"?>
<sst xmlns="http://schemas.openxmlformats.org/spreadsheetml/2006/main" count="103" uniqueCount="58">
  <si>
    <t>Quanto de patrimônio acumulado?</t>
  </si>
  <si>
    <t>INVESTIMENTO MENSAL</t>
  </si>
  <si>
    <t>Quanto investir por mês?</t>
  </si>
  <si>
    <t>Por quantos anos?</t>
  </si>
  <si>
    <t>Taxa de rendimento mensal?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</si>
  <si>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</si>
  <si>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</si>
  <si>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</si>
  <si>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</si>
  <si>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</si>
  <si>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</si>
  <si>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</si>
  <si>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</si>
  <si>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Salário</t>
  </si>
  <si>
    <t>Rendimento da carteira</t>
  </si>
  <si>
    <t>Sugestão de investimento</t>
  </si>
  <si>
    <t>PERFIL</t>
  </si>
  <si>
    <t>VALOR A SER INVESTIDO POR MÊS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</si>
  <si>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</si>
  <si>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</si>
  <si>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</si>
  <si>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</si>
  <si>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</si>
  <si>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</si>
  <si>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</si>
  <si>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</si>
  <si>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</si>
  <si>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Moderado</t>
  </si>
  <si>
    <t>Conservador</t>
  </si>
  <si>
    <t>%</t>
  </si>
  <si>
    <t>Agressivo</t>
  </si>
  <si>
    <t>CHAVE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</si>
  <si>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</si>
  <si>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</si>
  <si>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</si>
  <si>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</si>
  <si>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</si>
  <si>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</si>
  <si>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</si>
  <si>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</si>
  <si>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</si>
  <si>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</si>
  <si>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</si>
  <si>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</si>
  <si>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</si>
  <si>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</si>
  <si>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</si>
  <si>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</si>
  <si>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</si>
  <si>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</si>
  <si>
    <t>DIVIDENDO</t>
  </si>
  <si>
    <r>
      <t>•</t>
    </r>
    <r>
      <rPr>
        <b/>
        <sz val="11"/>
        <color theme="1"/>
        <rFont val="Aptos Narrow"/>
        <family val="2"/>
        <scheme val="minor"/>
      </rPr>
      <t xml:space="preserve"> O que são:</t>
    </r>
    <r>
      <rPr>
        <sz val="11"/>
        <color theme="1"/>
        <rFont val="Aptos Narrow"/>
        <family val="2"/>
        <scheme val="minor"/>
      </rPr>
      <t xml:space="preserve"> Não compram imóveis físicos; investem em títulos de renda fixa ligados ao setor imobiliário.
• </t>
    </r>
    <r>
      <rPr>
        <b/>
        <sz val="11"/>
        <color theme="1"/>
        <rFont val="Aptos Narrow"/>
        <family val="2"/>
        <scheme val="minor"/>
      </rPr>
      <t>Principais ativos:</t>
    </r>
    <r>
      <rPr>
        <sz val="11"/>
        <color theme="1"/>
        <rFont val="Aptos Narrow"/>
        <family val="2"/>
        <scheme val="minor"/>
      </rPr>
      <t xml:space="preserve"> CRIs (Certificados de Recebíveis Imobiliários) e LCIs (Letras de Crédito Imobiliário).
• </t>
    </r>
    <r>
      <rPr>
        <b/>
        <sz val="11"/>
        <color theme="1"/>
        <rFont val="Aptos Narrow"/>
        <family val="2"/>
        <scheme val="minor"/>
      </rPr>
      <t>Fonte de renda:</t>
    </r>
    <r>
      <rPr>
        <sz val="11"/>
        <color theme="1"/>
        <rFont val="Aptos Narrow"/>
        <family val="2"/>
        <scheme val="minor"/>
      </rPr>
      <t xml:space="preserve"> Juros e correção monetária (indexados geralmente ao IPCA, CDI ou IGPM) pagos pelas empresas que emitiram a dívida.
• </t>
    </r>
    <r>
      <rPr>
        <b/>
        <sz val="11"/>
        <color theme="1"/>
        <rFont val="Aptos Narrow"/>
        <family val="2"/>
        <scheme val="minor"/>
      </rPr>
      <t>Principais riscos:</t>
    </r>
    <r>
      <rPr>
        <sz val="11"/>
        <color theme="1"/>
        <rFont val="Aptos Narrow"/>
        <family val="2"/>
        <scheme val="minor"/>
      </rPr>
      <t xml:space="preserve"> Risco de crédito (calote do emissor do título) e ausência de garantia do FGC.
• Cenário favorável: Alta nas taxas de juros ou momentos de maior inflação.</t>
    </r>
  </si>
  <si>
    <t>•  Fundos que misturam as duas estratégias, investindo tanto em imóveis físicos quanto em títulos de papel (recebíveis).
• Fonte de renda: Combinação de aluguéis de imóveis e juros de títulos.
• Vantagem: Maior flexibilidade para o gestor navegar entre diferentes ciclos econômicos.</t>
  </si>
  <si>
    <t>• O que são: Fundos cuja carteira é composta majoritariamente por cotas de outros FIIs.
• Fonte de renda: Dividendos pagos pelos FIIs subjacentes e ganhos com a compra e venda de cotas.
• Vantagem: Diversificação instantânea com um único investimento.
• Ponto de atenção: O investidor acaba pagando uma "dupla taxa" de administração (a taxa do FoF mais a taxa dos fundos que ele detém).</t>
  </si>
  <si>
    <t>•  Focam na construção e incorporação de novos imóveis para vendê-los ou alugá-los depois de prontos.
• Fonte de renda: Lucro com a venda ou locação do empreendimento após o término da obra.
• Principais riscos: Atrasos na obra, custos acima do orçamento e risco de mercado no lançamento.
• Característica: Costumam não pagar renda mensal nos primeiros anos (fase de obras), mas oferecem potencial de retorno elevado.</t>
  </si>
  <si>
    <r>
      <t xml:space="preserve">• O que são: Investem diretamente na compra e gestão de imóveis reais.
• Principais segmentos: Shoppings centers, galpões logísticos, lajes corporativas (prédios de escritórios), hospitais, hotéis, universidades e supermercados.
• </t>
    </r>
    <r>
      <rPr>
        <b/>
        <sz val="11"/>
        <color theme="1"/>
        <rFont val="Aptos Narrow"/>
        <family val="2"/>
        <scheme val="minor"/>
      </rPr>
      <t>Fonte de renda:</t>
    </r>
    <r>
      <rPr>
        <sz val="11"/>
        <color theme="1"/>
        <rFont val="Aptos Narrow"/>
        <family val="2"/>
        <scheme val="minor"/>
      </rPr>
      <t xml:space="preserve"> Aluguéis mensais pagos pelas empresas inquilinas e potencial valorização dos imóveis físicos.
• Principais riscos: Vacância (imóvel ficar vazio) e inadimplência dos locatários.
• Cenário favorável: Queda nas taxas de juros e expansão econômica.</t>
    </r>
  </si>
  <si>
    <t>• O que são: O fundo é dono do imóvel físico (prédio do hotel, flats ou resorts).
• Fonte de renda: O rendimento do fundo vem do lucro da operação hoteleira. 
• Proteção contra a inflação: Os hotéis conseguem reajustar o preço das diárias quase em tempo real (diariamente, se necessário) para acompanhar a inflação ou a alta demanda, repassando o ganho rapidamente para o investidor.
• Alta Volatilidade (Sazonalidade): É um setor muito cíclico. O fundo costuma lucrar muito em períodos de férias, grandes eventos e feriados, mas pode render bem menos em meses de baixa temporada.</t>
  </si>
  <si>
    <t>Consulte o Tipo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</si>
</sst>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Selawik Semibold"/>
      <family val="2"/>
    </font>
    <font>
      <sz val="14"/>
      <color theme="0"/>
      <name val="Selawik Semibold"/>
      <family val="2"/>
    </font>
    <font>
      <sz val="12"/>
      <color theme="1"/>
      <name val="Yu Gothic UI"/>
      <family val="2"/>
    </font>
    <font>
      <b/>
      <sz val="12"/>
      <color theme="1"/>
      <name val="Yu Gothic UI"/>
      <family val="2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Yu Gothic UI"/>
      <family val="2"/>
    </font>
    <font>
      <sz val="16"/>
      <color rgb="FF104C54"/>
      <name val="Selawik Semibold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7BBCF"/>
        <bgColor indexed="64"/>
      </patternFill>
    </fill>
    <fill>
      <patternFill patternType="solid">
        <fgColor rgb="FF1F96A6"/>
        <bgColor indexed="64"/>
      </patternFill>
    </fill>
    <fill>
      <patternFill patternType="solid">
        <fgColor theme="4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4.9989318521683403E-2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4.9989318521683403E-2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4.9989318521683403E-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 style="thin">
        <color theme="0" tint="-0.34998626667073579"/>
      </left>
      <right style="medium">
        <color theme="1" tint="4.9989318521683403E-2"/>
      </right>
      <top style="thin">
        <color theme="0" tint="-0.34998626667073579"/>
      </top>
      <bottom style="medium">
        <color theme="1" tint="4.9989318521683403E-2"/>
      </bottom>
      <diagonal/>
    </border>
    <border>
      <left style="thin">
        <color theme="0" tint="-0.34998626667073579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4.9989318521683403E-2"/>
      </left>
      <right style="thin">
        <color theme="0"/>
      </right>
      <top style="thin">
        <color theme="0" tint="-0.34998626667073579"/>
      </top>
      <bottom/>
      <diagonal/>
    </border>
    <border>
      <left style="medium">
        <color theme="1" tint="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4.9989318521683403E-2"/>
      </left>
      <right/>
      <top style="thin">
        <color theme="0"/>
      </top>
      <bottom style="thin">
        <color theme="0"/>
      </bottom>
      <diagonal/>
    </border>
    <border>
      <left style="medium">
        <color theme="1" tint="4.9989318521683403E-2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/>
      </bottom>
      <diagonal/>
    </border>
    <border>
      <left/>
      <right style="medium">
        <color theme="1" tint="4.9989318521683403E-2"/>
      </right>
      <top style="thin">
        <color theme="0" tint="-0.34998626667073579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 tint="4.9989318521683403E-2"/>
      </right>
      <top style="thin">
        <color theme="0"/>
      </top>
      <bottom style="thin">
        <color theme="0"/>
      </bottom>
      <diagonal/>
    </border>
    <border>
      <left/>
      <right style="medium">
        <color theme="1" tint="4.9989318521683403E-2"/>
      </right>
      <top/>
      <bottom/>
      <diagonal/>
    </border>
    <border>
      <left style="thin">
        <color theme="0"/>
      </left>
      <right/>
      <top style="thin">
        <color theme="0"/>
      </top>
      <bottom style="medium">
        <color theme="1" tint="4.9989318521683403E-2"/>
      </bottom>
      <diagonal/>
    </border>
    <border>
      <left style="thin">
        <color theme="0"/>
      </left>
      <right style="medium">
        <color theme="1" tint="4.9989318521683403E-2"/>
      </right>
      <top style="thin">
        <color theme="0"/>
      </top>
      <bottom style="medium">
        <color theme="1" tint="4.9989318521683403E-2"/>
      </bottom>
      <diagonal/>
    </border>
    <border>
      <left style="thin">
        <color theme="0"/>
      </left>
      <right style="medium">
        <color theme="1" tint="4.9989318521683403E-2"/>
      </right>
      <top style="thin">
        <color theme="0"/>
      </top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4.9989318521683403E-2"/>
      </right>
      <top style="medium">
        <color theme="1" tint="4.9989318521683403E-2"/>
      </top>
      <bottom style="thin">
        <color theme="0" tint="-0.34998626667073579"/>
      </bottom>
      <diagonal/>
    </border>
    <border>
      <left/>
      <right/>
      <top style="medium">
        <color theme="1" tint="4.9989318521683403E-2"/>
      </top>
      <bottom style="thin">
        <color theme="0" tint="-0.34998626667073579"/>
      </bottom>
      <diagonal/>
    </border>
    <border>
      <left style="medium">
        <color theme="1" tint="4.9989318521683403E-2"/>
      </left>
      <right style="thin">
        <color theme="0" tint="-0.34998626667073579"/>
      </right>
      <top style="thin">
        <color theme="0" tint="-0.49998474074526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rgb="FF00B050"/>
      </right>
      <top style="medium">
        <color theme="1" tint="4.9989318521683403E-2"/>
      </top>
      <bottom/>
      <diagonal/>
    </border>
    <border>
      <left style="thin">
        <color rgb="FF00B050"/>
      </left>
      <right/>
      <top style="medium">
        <color theme="1"/>
      </top>
      <bottom style="thin">
        <color theme="0" tint="-0.499984740745262"/>
      </bottom>
      <diagonal/>
    </border>
    <border>
      <left/>
      <right style="medium">
        <color theme="1"/>
      </right>
      <top style="medium">
        <color theme="1"/>
      </top>
      <bottom style="thin">
        <color theme="0" tint="-0.499984740745262"/>
      </bottom>
      <diagonal/>
    </border>
    <border>
      <left style="medium">
        <color theme="1" tint="4.9989318521683403E-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1" tint="4.9989318521683403E-2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4.9989318521683403E-2"/>
      </left>
      <right style="thin">
        <color theme="0"/>
      </right>
      <top style="thin">
        <color theme="0"/>
      </top>
      <bottom style="medium">
        <color theme="1" tint="4.9989318521683403E-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2" fillId="0" borderId="0" xfId="0" applyFont="1"/>
    <xf numFmtId="0" fontId="5" fillId="0" borderId="6" xfId="0" applyFont="1" applyBorder="1"/>
    <xf numFmtId="164" fontId="5" fillId="0" borderId="7" xfId="0" applyNumberFormat="1" applyFont="1" applyBorder="1"/>
    <xf numFmtId="0" fontId="5" fillId="0" borderId="8" xfId="0" applyFont="1" applyBorder="1"/>
    <xf numFmtId="9" fontId="5" fillId="0" borderId="9" xfId="0" applyNumberFormat="1" applyFont="1" applyBorder="1"/>
    <xf numFmtId="0" fontId="5" fillId="3" borderId="10" xfId="0" applyFont="1" applyFill="1" applyBorder="1"/>
    <xf numFmtId="164" fontId="5" fillId="0" borderId="9" xfId="1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164" fontId="5" fillId="0" borderId="9" xfId="0" applyNumberFormat="1" applyFont="1" applyBorder="1"/>
    <xf numFmtId="8" fontId="5" fillId="3" borderId="13" xfId="0" applyNumberFormat="1" applyFont="1" applyFill="1" applyBorder="1"/>
    <xf numFmtId="0" fontId="5" fillId="3" borderId="14" xfId="0" applyFont="1" applyFill="1" applyBorder="1"/>
    <xf numFmtId="0" fontId="5" fillId="3" borderId="15" xfId="0" applyFont="1" applyFill="1" applyBorder="1"/>
    <xf numFmtId="0" fontId="5" fillId="3" borderId="16" xfId="0" applyFont="1" applyFill="1" applyBorder="1"/>
    <xf numFmtId="0" fontId="5" fillId="3" borderId="17" xfId="0" applyFont="1" applyFill="1" applyBorder="1"/>
    <xf numFmtId="8" fontId="5" fillId="3" borderId="18" xfId="0" applyNumberFormat="1" applyFont="1" applyFill="1" applyBorder="1"/>
    <xf numFmtId="8" fontId="5" fillId="3" borderId="19" xfId="0" applyNumberFormat="1" applyFont="1" applyFill="1" applyBorder="1"/>
    <xf numFmtId="8" fontId="5" fillId="3" borderId="20" xfId="0" applyNumberFormat="1" applyFont="1" applyFill="1" applyBorder="1"/>
    <xf numFmtId="8" fontId="5" fillId="3" borderId="21" xfId="0" applyNumberFormat="1" applyFont="1" applyFill="1" applyBorder="1"/>
    <xf numFmtId="8" fontId="5" fillId="3" borderId="22" xfId="0" applyNumberFormat="1" applyFont="1" applyFill="1" applyBorder="1"/>
    <xf numFmtId="8" fontId="5" fillId="3" borderId="23" xfId="0" applyNumberFormat="1" applyFont="1" applyFill="1" applyBorder="1"/>
    <xf numFmtId="8" fontId="5" fillId="3" borderId="25" xfId="0" applyNumberFormat="1" applyFont="1" applyFill="1" applyBorder="1"/>
    <xf numFmtId="8" fontId="5" fillId="3" borderId="24" xfId="0" applyNumberFormat="1" applyFont="1" applyFill="1" applyBorder="1"/>
    <xf numFmtId="164" fontId="5" fillId="5" borderId="0" xfId="1" applyNumberFormat="1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9" fontId="5" fillId="0" borderId="35" xfId="0" applyNumberFormat="1" applyFont="1" applyBorder="1" applyAlignment="1">
      <alignment horizontal="center"/>
    </xf>
    <xf numFmtId="164" fontId="5" fillId="0" borderId="36" xfId="0" applyNumberFormat="1" applyFont="1" applyBorder="1"/>
    <xf numFmtId="0" fontId="8" fillId="7" borderId="37" xfId="0" applyFont="1" applyFill="1" applyBorder="1"/>
    <xf numFmtId="0" fontId="8" fillId="7" borderId="38" xfId="0" applyFont="1" applyFill="1" applyBorder="1"/>
    <xf numFmtId="164" fontId="9" fillId="7" borderId="39" xfId="0" applyNumberFormat="1" applyFont="1" applyFill="1" applyBorder="1"/>
    <xf numFmtId="8" fontId="6" fillId="2" borderId="19" xfId="0" applyNumberFormat="1" applyFont="1" applyFill="1" applyBorder="1"/>
    <xf numFmtId="8" fontId="6" fillId="2" borderId="24" xfId="0" applyNumberFormat="1" applyFont="1" applyFill="1" applyBorder="1"/>
    <xf numFmtId="0" fontId="6" fillId="2" borderId="14" xfId="0" applyFont="1" applyFill="1" applyBorder="1"/>
    <xf numFmtId="0" fontId="6" fillId="2" borderId="40" xfId="0" applyFont="1" applyFill="1" applyBorder="1"/>
    <xf numFmtId="0" fontId="6" fillId="3" borderId="10" xfId="0" applyFont="1" applyFill="1" applyBorder="1"/>
    <xf numFmtId="164" fontId="6" fillId="3" borderId="11" xfId="0" applyNumberFormat="1" applyFont="1" applyFill="1" applyBorder="1"/>
    <xf numFmtId="0" fontId="3" fillId="7" borderId="42" xfId="0" applyFont="1" applyFill="1" applyBorder="1"/>
    <xf numFmtId="9" fontId="0" fillId="0" borderId="0" xfId="2" applyFont="1" applyAlignment="1"/>
    <xf numFmtId="0" fontId="5" fillId="2" borderId="41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indent="5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164" fontId="5" fillId="5" borderId="12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0" fillId="8" borderId="0" xfId="0" applyFill="1"/>
    <xf numFmtId="0" fontId="11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104C54"/>
      <color rgb="FF1F96A6"/>
      <color rgb="FFD7F8FD"/>
      <color rgb="FFB6F4FC"/>
      <color rgb="FF09C7E1"/>
      <color rgb="FF2FE0F7"/>
      <color rgb="FF27B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46072</xdr:colOff>
      <xdr:row>46</xdr:row>
      <xdr:rowOff>63791</xdr:rowOff>
    </xdr:from>
    <xdr:to>
      <xdr:col>1</xdr:col>
      <xdr:colOff>327834</xdr:colOff>
      <xdr:row>46</xdr:row>
      <xdr:rowOff>345555</xdr:rowOff>
    </xdr:to>
    <xdr:pic>
      <xdr:nvPicPr>
        <xdr:cNvPr id="5" name="Gráfico 4" descr="Informações com preenchimento sólido">
          <a:extLst>
            <a:ext uri="{FF2B5EF4-FFF2-40B4-BE49-F238E27FC236}">
              <a16:creationId xmlns:a16="http://schemas.microsoft.com/office/drawing/2014/main" id="{73A140AB-5599-8948-A73E-9FB58B6E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09328" y="11015326"/>
          <a:ext cx="281762" cy="281764"/>
        </a:xfrm>
        <a:prstGeom prst="rect">
          <a:avLst/>
        </a:prstGeom>
      </xdr:spPr>
    </xdr:pic>
    <xdr:clientData/>
  </xdr:twoCellAnchor>
  <xdr:twoCellAnchor>
    <xdr:from>
      <xdr:col>1</xdr:col>
      <xdr:colOff>1098699</xdr:colOff>
      <xdr:row>1</xdr:row>
      <xdr:rowOff>8860</xdr:rowOff>
    </xdr:from>
    <xdr:to>
      <xdr:col>4</xdr:col>
      <xdr:colOff>274676</xdr:colOff>
      <xdr:row>7</xdr:row>
      <xdr:rowOff>88605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4F72A05-2A10-0BC0-4E88-B0DDF9CE4EBD}"/>
            </a:ext>
          </a:extLst>
        </xdr:cNvPr>
        <xdr:cNvSpPr/>
      </xdr:nvSpPr>
      <xdr:spPr>
        <a:xfrm>
          <a:off x="2161955" y="194930"/>
          <a:ext cx="7575698" cy="1196163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0">
              <a:latin typeface="Raleway ExtraBold" pitchFamily="2" charset="0"/>
            </a:rPr>
            <a:t>InvestNow</a:t>
          </a:r>
        </a:p>
      </xdr:txBody>
    </xdr:sp>
    <xdr:clientData/>
  </xdr:twoCellAnchor>
  <xdr:twoCellAnchor editAs="absolute">
    <xdr:from>
      <xdr:col>1</xdr:col>
      <xdr:colOff>35447</xdr:colOff>
      <xdr:row>0</xdr:row>
      <xdr:rowOff>141765</xdr:rowOff>
    </xdr:from>
    <xdr:to>
      <xdr:col>1</xdr:col>
      <xdr:colOff>1227181</xdr:colOff>
      <xdr:row>7</xdr:row>
      <xdr:rowOff>44300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36C941-4F84-C5A8-4E02-B64DF5319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703" y="141765"/>
          <a:ext cx="1191734" cy="120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B940-7F2E-4F92-85DA-86B2CA0C203F}">
  <dimension ref="A1:J49"/>
  <sheetViews>
    <sheetView showGridLines="0" showRowColHeaders="0" tabSelected="1" zoomScale="86" zoomScaleNormal="86" workbookViewId="0">
      <selection activeCell="F17" sqref="F17"/>
    </sheetView>
  </sheetViews>
  <sheetFormatPr defaultRowHeight="14.4" x14ac:dyDescent="0.3"/>
  <cols>
    <col min="1" max="1" width="15.5546875" customWidth="1"/>
    <col min="2" max="2" width="52.5546875" customWidth="1"/>
    <col min="3" max="3" width="52.109375" customWidth="1"/>
    <col min="4" max="4" width="17.88671875" customWidth="1"/>
    <col min="6" max="6" width="22.6640625" customWidth="1"/>
    <col min="7" max="7" width="10.6640625" customWidth="1"/>
  </cols>
  <sheetData>
    <row r="1" spans="2:10" s="64" customFormat="1" x14ac:dyDescent="0.3"/>
    <row r="2" spans="2:10" s="64" customFormat="1" x14ac:dyDescent="0.3"/>
    <row r="3" spans="2:10" s="64" customFormat="1" x14ac:dyDescent="0.3"/>
    <row r="4" spans="2:10" s="64" customFormat="1" x14ac:dyDescent="0.3"/>
    <row r="5" spans="2:10" s="64" customFormat="1" x14ac:dyDescent="0.3"/>
    <row r="6" spans="2:10" s="64" customFormat="1" x14ac:dyDescent="0.3"/>
    <row r="7" spans="2:10" s="64" customFormat="1" x14ac:dyDescent="0.3"/>
    <row r="8" spans="2:10" s="64" customFormat="1" x14ac:dyDescent="0.3"/>
    <row r="10" spans="2:10" ht="15" thickBot="1" x14ac:dyDescent="0.35"/>
    <row r="11" spans="2:10" ht="30" customHeight="1" thickBot="1" x14ac:dyDescent="0.35">
      <c r="B11" s="56" t="s">
        <v>12</v>
      </c>
      <c r="C11" s="57"/>
    </row>
    <row r="12" spans="2:10" ht="19.2" x14ac:dyDescent="0.45">
      <c r="B12" s="7" t="s">
        <v>13</v>
      </c>
      <c r="C12" s="8">
        <v>4200</v>
      </c>
    </row>
    <row r="13" spans="2:10" ht="19.2" x14ac:dyDescent="0.45">
      <c r="B13" s="9" t="s">
        <v>14</v>
      </c>
      <c r="C13" s="10">
        <v>0.01</v>
      </c>
      <c r="F13" s="65"/>
    </row>
    <row r="14" spans="2:10" ht="19.8" thickBot="1" x14ac:dyDescent="0.5">
      <c r="B14" s="48" t="s">
        <v>15</v>
      </c>
      <c r="C14" s="49">
        <f>C12*30%</f>
        <v>1260</v>
      </c>
    </row>
    <row r="15" spans="2:10" x14ac:dyDescent="0.3">
      <c r="J15" s="65"/>
    </row>
    <row r="16" spans="2:10" ht="15" thickBot="1" x14ac:dyDescent="0.35"/>
    <row r="17" spans="1:4" ht="30" customHeight="1" x14ac:dyDescent="0.3">
      <c r="B17" s="54" t="s">
        <v>1</v>
      </c>
      <c r="C17" s="55"/>
    </row>
    <row r="18" spans="1:4" ht="19.2" x14ac:dyDescent="0.45">
      <c r="B18" s="9" t="s">
        <v>2</v>
      </c>
      <c r="C18" s="12">
        <v>1260</v>
      </c>
    </row>
    <row r="19" spans="1:4" ht="19.2" x14ac:dyDescent="0.45">
      <c r="B19" s="9" t="s">
        <v>3</v>
      </c>
      <c r="C19" s="13">
        <v>5</v>
      </c>
    </row>
    <row r="20" spans="1:4" ht="19.2" x14ac:dyDescent="0.45">
      <c r="B20" s="9" t="s">
        <v>4</v>
      </c>
      <c r="C20" s="14">
        <v>0.01</v>
      </c>
    </row>
    <row r="21" spans="1:4" ht="19.2" x14ac:dyDescent="0.45">
      <c r="B21" s="46" t="s">
        <v>0</v>
      </c>
      <c r="C21" s="44">
        <f>FV(taxa,quantos_anos*12,investimento_mensal*-1)</f>
        <v>102903.78401907551</v>
      </c>
    </row>
    <row r="22" spans="1:4" ht="19.8" thickBot="1" x14ac:dyDescent="0.5">
      <c r="B22" s="47" t="s">
        <v>5</v>
      </c>
      <c r="C22" s="45">
        <f>C21*rendimento_carteira</f>
        <v>1029.0378401907551</v>
      </c>
    </row>
    <row r="24" spans="1:4" ht="15" thickBot="1" x14ac:dyDescent="0.35"/>
    <row r="25" spans="1:4" ht="30" customHeight="1" x14ac:dyDescent="0.3">
      <c r="B25" s="62" t="s">
        <v>6</v>
      </c>
      <c r="C25" s="63"/>
      <c r="D25" s="32" t="s">
        <v>50</v>
      </c>
    </row>
    <row r="26" spans="1:4" ht="19.2" x14ac:dyDescent="0.45">
      <c r="A26" s="6">
        <v>2</v>
      </c>
      <c r="B26" s="19" t="s">
        <v>7</v>
      </c>
      <c r="C26" s="23">
        <f>FV(taxa,$A26*12,investimento_mensal*-1)</f>
        <v>33986.565715021286</v>
      </c>
      <c r="D26" s="24">
        <f>C26*rendimento_carteira</f>
        <v>339.86565715021288</v>
      </c>
    </row>
    <row r="27" spans="1:4" ht="19.2" x14ac:dyDescent="0.45">
      <c r="A27" s="6">
        <v>5</v>
      </c>
      <c r="B27" s="22" t="s">
        <v>8</v>
      </c>
      <c r="C27" s="25">
        <f>FV(taxa,$A27*12,investimento_mensal*-1)</f>
        <v>102903.78401907551</v>
      </c>
      <c r="D27" s="26">
        <f>C27*rendimento_carteira</f>
        <v>1029.0378401907551</v>
      </c>
    </row>
    <row r="28" spans="1:4" ht="19.2" x14ac:dyDescent="0.45">
      <c r="A28" s="6">
        <v>10</v>
      </c>
      <c r="B28" s="21" t="s">
        <v>9</v>
      </c>
      <c r="C28" s="18">
        <f>FV(taxa,$A28*12,investimento_mensal*-1)</f>
        <v>289848.74871628243</v>
      </c>
      <c r="D28" s="27">
        <f>C28*rendimento_carteira</f>
        <v>2898.4874871628244</v>
      </c>
    </row>
    <row r="29" spans="1:4" ht="19.2" x14ac:dyDescent="0.45">
      <c r="A29" s="6">
        <v>20</v>
      </c>
      <c r="B29" s="20" t="s">
        <v>10</v>
      </c>
      <c r="C29" s="18">
        <f>FV(taxa,$A29*12,investimento_mensal*-1)</f>
        <v>1246461.7603880775</v>
      </c>
      <c r="D29" s="29">
        <f>C29*rendimento_carteira</f>
        <v>12464.617603880775</v>
      </c>
    </row>
    <row r="30" spans="1:4" ht="19.8" thickBot="1" x14ac:dyDescent="0.5">
      <c r="A30" s="6">
        <v>30</v>
      </c>
      <c r="B30" s="11" t="s">
        <v>11</v>
      </c>
      <c r="C30" s="28">
        <f>FV(taxa,$A30*12,investimento_mensal*-1)</f>
        <v>4403654.8072883179</v>
      </c>
      <c r="D30" s="30">
        <f>C30*rendimento_carteira</f>
        <v>44036.548072883183</v>
      </c>
    </row>
    <row r="32" spans="1:4" ht="15" thickBot="1" x14ac:dyDescent="0.35"/>
    <row r="33" spans="2:4" ht="30" customHeight="1" x14ac:dyDescent="0.3">
      <c r="B33" s="33" t="s">
        <v>16</v>
      </c>
      <c r="C33" s="58" t="s">
        <v>30</v>
      </c>
      <c r="D33" s="59"/>
    </row>
    <row r="34" spans="2:4" ht="30" customHeight="1" thickBot="1" x14ac:dyDescent="0.35">
      <c r="B34" s="34" t="s">
        <v>17</v>
      </c>
      <c r="C34" s="60">
        <v>1260</v>
      </c>
      <c r="D34" s="61"/>
    </row>
    <row r="35" spans="2:4" ht="9.6" customHeight="1" x14ac:dyDescent="0.3">
      <c r="C35" s="31"/>
      <c r="D35" s="31"/>
    </row>
    <row r="36" spans="2:4" ht="15" thickBot="1" x14ac:dyDescent="0.35"/>
    <row r="37" spans="2:4" ht="30" customHeight="1" x14ac:dyDescent="0.3">
      <c r="B37" s="35" t="s">
        <v>18</v>
      </c>
      <c r="C37" s="36" t="s">
        <v>25</v>
      </c>
      <c r="D37" s="37" t="s">
        <v>26</v>
      </c>
    </row>
    <row r="38" spans="2:4" ht="19.2" x14ac:dyDescent="0.45">
      <c r="B38" s="15" t="s">
        <v>19</v>
      </c>
      <c r="C38" s="16">
        <f>VLOOKUP($C$33&amp;"-"&amp;B38,Planilha2!$A:$D,4,)</f>
        <v>0.5</v>
      </c>
      <c r="D38" s="17">
        <f t="shared" ref="D38:D43" si="0">C38*$C$34</f>
        <v>630</v>
      </c>
    </row>
    <row r="39" spans="2:4" ht="19.2" x14ac:dyDescent="0.45">
      <c r="B39" s="15" t="s">
        <v>20</v>
      </c>
      <c r="C39" s="16">
        <f>VLOOKUP($C$33&amp;"-"&amp;B39,Planilha2!$A:$D,4,)</f>
        <v>0.1</v>
      </c>
      <c r="D39" s="17">
        <f t="shared" si="0"/>
        <v>126</v>
      </c>
    </row>
    <row r="40" spans="2:4" ht="19.2" x14ac:dyDescent="0.45">
      <c r="B40" s="15" t="s">
        <v>21</v>
      </c>
      <c r="C40" s="16">
        <f>VLOOKUP($C$33&amp;"-"&amp;B40,Planilha2!$A:$D,4,)</f>
        <v>0.05</v>
      </c>
      <c r="D40" s="17">
        <f t="shared" si="0"/>
        <v>63</v>
      </c>
    </row>
    <row r="41" spans="2:4" ht="19.2" x14ac:dyDescent="0.45">
      <c r="B41" s="15" t="s">
        <v>22</v>
      </c>
      <c r="C41" s="16">
        <f>VLOOKUP($C$33&amp;"-"&amp;B41,Planilha2!$A:$D,4,)</f>
        <v>0.05</v>
      </c>
      <c r="D41" s="17">
        <f t="shared" si="0"/>
        <v>63</v>
      </c>
    </row>
    <row r="42" spans="2:4" ht="19.2" x14ac:dyDescent="0.45">
      <c r="B42" s="15" t="s">
        <v>23</v>
      </c>
      <c r="C42" s="16">
        <f>VLOOKUP($C$33&amp;"-"&amp;B42,Planilha2!$A:$D,4,)</f>
        <v>0.2</v>
      </c>
      <c r="D42" s="17">
        <f t="shared" si="0"/>
        <v>252</v>
      </c>
    </row>
    <row r="43" spans="2:4" ht="19.8" thickBot="1" x14ac:dyDescent="0.5">
      <c r="B43" s="38" t="s">
        <v>24</v>
      </c>
      <c r="C43" s="39">
        <f>VLOOKUP($C$33&amp;"-"&amp;B43,Planilha2!$A:$D,4,)</f>
        <v>0.1</v>
      </c>
      <c r="D43" s="40">
        <f t="shared" si="0"/>
        <v>126</v>
      </c>
    </row>
    <row r="44" spans="2:4" ht="19.8" thickBot="1" x14ac:dyDescent="0.5">
      <c r="B44" s="41"/>
      <c r="C44" s="42"/>
      <c r="D44" s="43">
        <f>SUM(D38:D43)</f>
        <v>1260</v>
      </c>
    </row>
    <row r="47" spans="2:4" ht="32.4" customHeight="1" thickBot="1" x14ac:dyDescent="0.35">
      <c r="B47" s="53" t="s">
        <v>57</v>
      </c>
    </row>
    <row r="48" spans="2:4" ht="21" thickBot="1" x14ac:dyDescent="0.5">
      <c r="B48" s="50" t="s">
        <v>19</v>
      </c>
    </row>
    <row r="49" spans="2:2" ht="304.2" customHeight="1" thickBot="1" x14ac:dyDescent="0.35">
      <c r="B49" s="52" t="str">
        <f>VLOOKUP(B48,Planilha2!K:L,2,)</f>
        <v>• O que são: Não compram imóveis físicos; investem em títulos de renda fixa ligados ao setor imobiliário.
• Principais ativos: CRIs (Certificados de Recebíveis Imobiliários) e LCIs (Letras de Crédito Imobiliário).
• Fonte de renda: Juros e correção monetária (indexados geralmente ao IPCA, CDI ou IGPM) pagos pelas empresas que emitiram a dívida.
• Principais riscos: Risco de crédito (calote do emissor do título) e ausência de garantia do FGC.
• Cenário favorável: Alta nas taxas de juros ou momentos de maior inflação.</v>
      </c>
    </row>
  </sheetData>
  <mergeCells count="5">
    <mergeCell ref="B17:C17"/>
    <mergeCell ref="B11:C11"/>
    <mergeCell ref="C33:D33"/>
    <mergeCell ref="C34:D34"/>
    <mergeCell ref="B25:C25"/>
  </mergeCells>
  <dataValidations count="1">
    <dataValidation type="list" allowBlank="1" showInputMessage="1" showErrorMessage="1" sqref="C33:D33" xr:uid="{A42B223F-19F9-4557-85D9-79253FD662E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2C05D-C78D-4323-8587-911CE3468CED}">
          <x14:formula1>
            <xm:f>Planilha2!$K$1:$K$6</xm:f>
          </x14:formula1>
          <xm:sqref>B48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A756-8925-4909-9D4C-2AC986092A86}">
  <dimension ref="A1:L22"/>
  <sheetViews>
    <sheetView workbookViewId="0">
      <selection activeCell="L16" sqref="L16"/>
    </sheetView>
  </sheetViews>
  <sheetFormatPr defaultRowHeight="14.4" x14ac:dyDescent="0.3"/>
  <cols>
    <col min="1" max="1" width="28.77734375" bestFit="1" customWidth="1"/>
    <col min="2" max="2" width="25.21875" customWidth="1"/>
    <col min="3" max="3" width="17.6640625" bestFit="1" customWidth="1"/>
    <col min="8" max="8" width="15.44140625" bestFit="1" customWidth="1"/>
  </cols>
  <sheetData>
    <row r="1" spans="1:12" x14ac:dyDescent="0.3">
      <c r="A1" t="s">
        <v>31</v>
      </c>
      <c r="B1" s="1" t="s">
        <v>16</v>
      </c>
      <c r="C1" s="1" t="s">
        <v>18</v>
      </c>
      <c r="D1" s="1" t="s">
        <v>29</v>
      </c>
      <c r="I1" t="s">
        <v>29</v>
      </c>
      <c r="K1" t="s">
        <v>19</v>
      </c>
      <c r="L1" t="s">
        <v>51</v>
      </c>
    </row>
    <row r="2" spans="1:12" x14ac:dyDescent="0.3">
      <c r="A2" t="s">
        <v>32</v>
      </c>
      <c r="B2" t="s">
        <v>28</v>
      </c>
      <c r="C2" s="1" t="s">
        <v>19</v>
      </c>
      <c r="D2" s="2">
        <v>0.3</v>
      </c>
      <c r="H2" t="s">
        <v>39</v>
      </c>
      <c r="I2" s="51">
        <f>VLOOKUP(H2,$A:$D,4,)</f>
        <v>0.4</v>
      </c>
      <c r="K2" t="s">
        <v>20</v>
      </c>
      <c r="L2" t="s">
        <v>55</v>
      </c>
    </row>
    <row r="3" spans="1:12" x14ac:dyDescent="0.3">
      <c r="A3" t="s">
        <v>33</v>
      </c>
      <c r="B3" t="s">
        <v>28</v>
      </c>
      <c r="C3" s="1" t="s">
        <v>20</v>
      </c>
      <c r="D3" s="2">
        <v>0.5</v>
      </c>
      <c r="K3" t="s">
        <v>21</v>
      </c>
      <c r="L3" t="s">
        <v>52</v>
      </c>
    </row>
    <row r="4" spans="1:12" x14ac:dyDescent="0.3">
      <c r="A4" t="s">
        <v>34</v>
      </c>
      <c r="B4" t="s">
        <v>28</v>
      </c>
      <c r="C4" s="1" t="s">
        <v>21</v>
      </c>
      <c r="D4" s="2">
        <v>0.1</v>
      </c>
      <c r="K4" t="s">
        <v>22</v>
      </c>
      <c r="L4" t="s">
        <v>53</v>
      </c>
    </row>
    <row r="5" spans="1:12" x14ac:dyDescent="0.3">
      <c r="A5" t="s">
        <v>35</v>
      </c>
      <c r="B5" t="s">
        <v>28</v>
      </c>
      <c r="C5" s="1" t="s">
        <v>22</v>
      </c>
      <c r="D5" s="2">
        <v>0.1</v>
      </c>
      <c r="K5" t="s">
        <v>23</v>
      </c>
      <c r="L5" t="s">
        <v>54</v>
      </c>
    </row>
    <row r="6" spans="1:12" x14ac:dyDescent="0.3">
      <c r="A6" t="s">
        <v>36</v>
      </c>
      <c r="B6" t="s">
        <v>28</v>
      </c>
      <c r="C6" s="1" t="s">
        <v>23</v>
      </c>
      <c r="D6" s="2">
        <v>0</v>
      </c>
      <c r="K6" t="s">
        <v>24</v>
      </c>
      <c r="L6" t="s">
        <v>56</v>
      </c>
    </row>
    <row r="7" spans="1:12" x14ac:dyDescent="0.3">
      <c r="A7" s="3" t="s">
        <v>37</v>
      </c>
      <c r="B7" s="3" t="s">
        <v>28</v>
      </c>
      <c r="C7" s="4" t="s">
        <v>24</v>
      </c>
      <c r="D7" s="5">
        <v>0</v>
      </c>
    </row>
    <row r="8" spans="1:12" x14ac:dyDescent="0.3">
      <c r="A8" t="s">
        <v>38</v>
      </c>
      <c r="B8" t="s">
        <v>27</v>
      </c>
      <c r="C8" s="1" t="s">
        <v>19</v>
      </c>
      <c r="D8" s="2">
        <v>0.32</v>
      </c>
    </row>
    <row r="9" spans="1:12" x14ac:dyDescent="0.3">
      <c r="A9" t="s">
        <v>39</v>
      </c>
      <c r="B9" t="s">
        <v>27</v>
      </c>
      <c r="C9" s="1" t="s">
        <v>20</v>
      </c>
      <c r="D9" s="2">
        <v>0.4</v>
      </c>
    </row>
    <row r="10" spans="1:12" x14ac:dyDescent="0.3">
      <c r="A10" t="s">
        <v>40</v>
      </c>
      <c r="B10" t="s">
        <v>27</v>
      </c>
      <c r="C10" s="1" t="s">
        <v>21</v>
      </c>
      <c r="D10" s="2">
        <v>0.08</v>
      </c>
    </row>
    <row r="11" spans="1:12" x14ac:dyDescent="0.3">
      <c r="A11" t="s">
        <v>41</v>
      </c>
      <c r="B11" t="s">
        <v>27</v>
      </c>
      <c r="C11" s="1" t="s">
        <v>22</v>
      </c>
      <c r="D11" s="2">
        <v>0.1</v>
      </c>
    </row>
    <row r="12" spans="1:12" x14ac:dyDescent="0.3">
      <c r="A12" t="s">
        <v>42</v>
      </c>
      <c r="B12" t="s">
        <v>27</v>
      </c>
      <c r="C12" s="1" t="s">
        <v>23</v>
      </c>
      <c r="D12" s="2">
        <v>0.05</v>
      </c>
    </row>
    <row r="13" spans="1:12" x14ac:dyDescent="0.3">
      <c r="A13" s="3" t="s">
        <v>43</v>
      </c>
      <c r="B13" s="3" t="s">
        <v>27</v>
      </c>
      <c r="C13" s="4" t="s">
        <v>24</v>
      </c>
      <c r="D13" s="5">
        <v>0.05</v>
      </c>
    </row>
    <row r="14" spans="1:12" x14ac:dyDescent="0.3">
      <c r="A14" t="s">
        <v>44</v>
      </c>
      <c r="B14" t="s">
        <v>30</v>
      </c>
      <c r="C14" s="1" t="s">
        <v>19</v>
      </c>
      <c r="D14" s="2">
        <v>0.5</v>
      </c>
    </row>
    <row r="15" spans="1:12" x14ac:dyDescent="0.3">
      <c r="A15" t="s">
        <v>45</v>
      </c>
      <c r="B15" t="s">
        <v>30</v>
      </c>
      <c r="C15" s="1" t="s">
        <v>20</v>
      </c>
      <c r="D15" s="2">
        <v>0.1</v>
      </c>
    </row>
    <row r="16" spans="1:12" x14ac:dyDescent="0.3">
      <c r="A16" t="s">
        <v>46</v>
      </c>
      <c r="B16" t="s">
        <v>30</v>
      </c>
      <c r="C16" s="1" t="s">
        <v>21</v>
      </c>
      <c r="D16" s="2">
        <v>0.05</v>
      </c>
    </row>
    <row r="17" spans="1:4" x14ac:dyDescent="0.3">
      <c r="A17" t="s">
        <v>47</v>
      </c>
      <c r="B17" t="s">
        <v>30</v>
      </c>
      <c r="C17" s="1" t="s">
        <v>22</v>
      </c>
      <c r="D17" s="2">
        <v>0.05</v>
      </c>
    </row>
    <row r="18" spans="1:4" x14ac:dyDescent="0.3">
      <c r="A18" t="s">
        <v>48</v>
      </c>
      <c r="B18" t="s">
        <v>30</v>
      </c>
      <c r="C18" s="1" t="s">
        <v>23</v>
      </c>
      <c r="D18" s="2">
        <v>0.2</v>
      </c>
    </row>
    <row r="19" spans="1:4" x14ac:dyDescent="0.3">
      <c r="A19" t="s">
        <v>49</v>
      </c>
      <c r="B19" t="s">
        <v>30</v>
      </c>
      <c r="C19" s="1" t="s">
        <v>24</v>
      </c>
      <c r="D19" s="2">
        <v>0.1</v>
      </c>
    </row>
    <row r="22" spans="1:4" ht="78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investimento_mensal</vt:lpstr>
      <vt:lpstr>quantos_anos</vt:lpstr>
      <vt:lpstr>rendimento_carteira</vt:lpstr>
      <vt:lpstr>salario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IBFC Instituto</dc:creator>
  <cp:lastModifiedBy>IBFC Instituto</cp:lastModifiedBy>
  <dcterms:created xsi:type="dcterms:W3CDTF">2026-09-23T13:55:07Z</dcterms:created>
  <dcterms:modified xsi:type="dcterms:W3CDTF">2026-10-09T14:54:25Z</dcterms:modified>
</cp:coreProperties>
</file>